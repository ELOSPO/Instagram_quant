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A3F90D1-C2B5-4F72-99C0-7312F983360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sultados" sheetId="1" r:id="rId1"/>
  </sheets>
  <definedNames>
    <definedName name="_xlnm._FilterDatabase" localSheetId="0" hidden="1">Resultados!$A$1:$J$40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3" i="1"/>
  <c r="J12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2" i="1"/>
</calcChain>
</file>

<file path=xl/sharedStrings.xml><?xml version="1.0" encoding="utf-8"?>
<sst xmlns="http://schemas.openxmlformats.org/spreadsheetml/2006/main" count="88" uniqueCount="51">
  <si>
    <t>Ticker</t>
  </si>
  <si>
    <t>Precio actual ($)</t>
  </si>
  <si>
    <t>N obs</t>
  </si>
  <si>
    <t>Mejor distribución</t>
  </si>
  <si>
    <t>Volatilidad anual (%)</t>
  </si>
  <si>
    <t>P(pérdida 15d) (%)</t>
  </si>
  <si>
    <t>Escenario adverso ($1M)</t>
  </si>
  <si>
    <t>Escenario positivo ($1M)</t>
  </si>
  <si>
    <t>HCOLSEL</t>
  </si>
  <si>
    <t>Johnson SU</t>
  </si>
  <si>
    <t>MINEROS</t>
  </si>
  <si>
    <t>NUTRESA</t>
  </si>
  <si>
    <t>MSCI NUAM USD</t>
  </si>
  <si>
    <t>t-Student</t>
  </si>
  <si>
    <t>ICOLCAP</t>
  </si>
  <si>
    <t>MSCI COLCAP</t>
  </si>
  <si>
    <t>GRUPOAVAL</t>
  </si>
  <si>
    <t>COLEQTY</t>
  </si>
  <si>
    <t>PFGRUPSURA</t>
  </si>
  <si>
    <t>BHI</t>
  </si>
  <si>
    <t>COLIR</t>
  </si>
  <si>
    <t>CIBEST</t>
  </si>
  <si>
    <t>BVC</t>
  </si>
  <si>
    <t>EXITO</t>
  </si>
  <si>
    <t>BOGOTA</t>
  </si>
  <si>
    <t>PFCIBEST</t>
  </si>
  <si>
    <t>TERPEL</t>
  </si>
  <si>
    <t>PFAVAL</t>
  </si>
  <si>
    <t>GRUPOSURA</t>
  </si>
  <si>
    <t>GRUBOLIVAR</t>
  </si>
  <si>
    <t>ISA</t>
  </si>
  <si>
    <t>CELSIA</t>
  </si>
  <si>
    <t>ENKA</t>
  </si>
  <si>
    <t>GEB</t>
  </si>
  <si>
    <t>COLSC</t>
  </si>
  <si>
    <t>PFCORFICOL</t>
  </si>
  <si>
    <t>PFDAVVNDA</t>
  </si>
  <si>
    <t>CORFICOLCF</t>
  </si>
  <si>
    <t>PFGRUPOARG</t>
  </si>
  <si>
    <t>PFCEMARGOS</t>
  </si>
  <si>
    <t>GXTESCOL</t>
  </si>
  <si>
    <t>ECOPETROL</t>
  </si>
  <si>
    <t>CEMARGOS</t>
  </si>
  <si>
    <t>PEI</t>
  </si>
  <si>
    <t>GRUPOARGOS</t>
  </si>
  <si>
    <t>PFDAVIGRP</t>
  </si>
  <si>
    <t>PROMIGAS</t>
  </si>
  <si>
    <t>CONCONCRET</t>
  </si>
  <si>
    <t>CNEC</t>
  </si>
  <si>
    <t>Odds Ratio</t>
  </si>
  <si>
    <t>P(ganancia 15d)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</si>
</sst>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274E13"/>
      <name val="Calibri"/>
    </font>
    <font>
      <b/>
      <sz val="11"/>
      <color rgb="FFB45309"/>
      <name val="Calibri"/>
    </font>
    <font>
      <b/>
      <sz val="11"/>
      <color rgb="FF990000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44" fontId="0" fillId="3" borderId="1" xfId="1" applyFont="1" applyFill="1" applyBorder="1" applyAlignment="1">
      <alignment vertical="center" wrapText="1"/>
    </xf>
    <xf numFmtId="44" fontId="0" fillId="5" borderId="1" xfId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Q29" sqref="Q29"/>
    </sheetView>
  </sheetViews>
  <sheetFormatPr baseColWidth="10" defaultColWidth="8.7265625" defaultRowHeight="14.5" x14ac:dyDescent="0.35"/>
  <cols>
    <col min="1" max="1" width="16" customWidth="1"/>
    <col min="2" max="2" width="18" hidden="1" customWidth="1"/>
    <col min="3" max="3" width="8" customWidth="1"/>
    <col min="4" max="4" width="20" hidden="1" customWidth="1"/>
    <col min="5" max="7" width="22" customWidth="1"/>
    <col min="8" max="9" width="26" customWidth="1"/>
  </cols>
  <sheetData>
    <row r="1" spans="1:10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6</v>
      </c>
      <c r="I1" s="1" t="s">
        <v>7</v>
      </c>
      <c r="J1" s="9" t="s">
        <v>49</v>
      </c>
    </row>
    <row r="2" spans="1:10" x14ac:dyDescent="0.35">
      <c r="A2" s="2" t="s">
        <v>8</v>
      </c>
      <c r="B2" s="2">
        <v>24100</v>
      </c>
      <c r="C2" s="2">
        <v>113</v>
      </c>
      <c r="D2" s="2" t="s">
        <v>9</v>
      </c>
      <c r="E2" s="2">
        <v>20.67</v>
      </c>
      <c r="F2" s="3">
        <v>10.1</v>
      </c>
      <c r="G2" s="2">
        <v>94.4</v>
      </c>
      <c r="H2" s="7">
        <v>995693</v>
      </c>
      <c r="I2" s="7">
        <v>1228497</v>
      </c>
      <c r="J2" s="7">
        <f>I2/H2</f>
        <v>1.2338110240807156</v>
      </c>
    </row>
    <row r="3" spans="1:10" x14ac:dyDescent="0.35">
      <c r="A3" s="4" t="s">
        <v>10</v>
      </c>
      <c r="B3" s="4">
        <v>16360</v>
      </c>
      <c r="C3" s="4">
        <v>214</v>
      </c>
      <c r="D3" s="4" t="s">
        <v>9</v>
      </c>
      <c r="E3" s="4">
        <v>38.28</v>
      </c>
      <c r="F3" s="3">
        <v>15.5</v>
      </c>
      <c r="G3" s="4">
        <v>89.2</v>
      </c>
      <c r="H3" s="8">
        <v>956861</v>
      </c>
      <c r="I3" s="8">
        <v>1416512</v>
      </c>
      <c r="J3" s="8">
        <f>I3/H3</f>
        <v>1.4803738474031234</v>
      </c>
    </row>
    <row r="4" spans="1:10" x14ac:dyDescent="0.35">
      <c r="A4" s="2" t="s">
        <v>11</v>
      </c>
      <c r="B4" s="2">
        <v>289020</v>
      </c>
      <c r="C4" s="2">
        <v>161</v>
      </c>
      <c r="D4" s="2" t="s">
        <v>9</v>
      </c>
      <c r="E4" s="2">
        <v>60.65</v>
      </c>
      <c r="F4" s="3">
        <v>20.3</v>
      </c>
      <c r="G4" s="2">
        <v>83.6</v>
      </c>
      <c r="H4" s="7">
        <v>808913</v>
      </c>
      <c r="I4" s="7">
        <v>2980976</v>
      </c>
      <c r="J4" s="7">
        <f>I4/H4</f>
        <v>3.68516268127722</v>
      </c>
    </row>
    <row r="5" spans="1:10" x14ac:dyDescent="0.35">
      <c r="A5" s="4" t="s">
        <v>12</v>
      </c>
      <c r="B5" s="4">
        <v>1759.2</v>
      </c>
      <c r="C5" s="4">
        <v>247</v>
      </c>
      <c r="D5" s="4" t="s">
        <v>13</v>
      </c>
      <c r="E5" s="4">
        <v>17.77</v>
      </c>
      <c r="F5" s="3">
        <v>20.5</v>
      </c>
      <c r="G5" s="4">
        <v>84.4</v>
      </c>
      <c r="H5" s="8">
        <v>966827</v>
      </c>
      <c r="I5" s="8">
        <v>1150733</v>
      </c>
      <c r="J5" s="8">
        <f>I5/H5</f>
        <v>1.1902160365815186</v>
      </c>
    </row>
    <row r="6" spans="1:10" x14ac:dyDescent="0.35">
      <c r="A6" s="2" t="s">
        <v>14</v>
      </c>
      <c r="B6" s="2">
        <v>21743</v>
      </c>
      <c r="C6" s="2">
        <v>242</v>
      </c>
      <c r="D6" s="2" t="s">
        <v>13</v>
      </c>
      <c r="E6" s="2">
        <v>17.04</v>
      </c>
      <c r="F6" s="3">
        <v>25.8</v>
      </c>
      <c r="G6" s="2">
        <v>78.8</v>
      </c>
      <c r="H6" s="7">
        <v>954268</v>
      </c>
      <c r="I6" s="7">
        <v>1137953</v>
      </c>
      <c r="J6" s="7">
        <f>I6/H6</f>
        <v>1.1924878545649651</v>
      </c>
    </row>
    <row r="7" spans="1:10" x14ac:dyDescent="0.35">
      <c r="A7" s="4" t="s">
        <v>15</v>
      </c>
      <c r="B7" s="4">
        <v>2213.35</v>
      </c>
      <c r="C7" s="4">
        <v>247</v>
      </c>
      <c r="D7" s="4" t="s">
        <v>13</v>
      </c>
      <c r="E7" s="4">
        <v>16.23</v>
      </c>
      <c r="F7" s="3">
        <v>26.2</v>
      </c>
      <c r="G7" s="4">
        <v>78.400000000000006</v>
      </c>
      <c r="H7" s="8">
        <v>957856</v>
      </c>
      <c r="I7" s="8">
        <v>1127691</v>
      </c>
      <c r="J7" s="8">
        <f>I7/H7</f>
        <v>1.1773074449604115</v>
      </c>
    </row>
    <row r="8" spans="1:10" x14ac:dyDescent="0.35">
      <c r="A8" s="2" t="s">
        <v>16</v>
      </c>
      <c r="B8" s="2">
        <v>770</v>
      </c>
      <c r="C8" s="2">
        <v>135</v>
      </c>
      <c r="D8" s="2" t="s">
        <v>13</v>
      </c>
      <c r="E8" s="2">
        <v>39.409999999999997</v>
      </c>
      <c r="F8" s="3">
        <v>26.8</v>
      </c>
      <c r="G8" s="2">
        <v>77.5</v>
      </c>
      <c r="H8" s="7">
        <v>894588</v>
      </c>
      <c r="I8" s="7">
        <v>1340698</v>
      </c>
      <c r="J8" s="7">
        <f>I8/H8</f>
        <v>1.4986764857118584</v>
      </c>
    </row>
    <row r="9" spans="1:10" x14ac:dyDescent="0.35">
      <c r="A9" s="4" t="s">
        <v>17</v>
      </c>
      <c r="B9" s="4">
        <v>1520.83</v>
      </c>
      <c r="C9" s="4">
        <v>247</v>
      </c>
      <c r="D9" s="4" t="s">
        <v>13</v>
      </c>
      <c r="E9" s="4">
        <v>15.17</v>
      </c>
      <c r="F9" s="3">
        <v>27.9</v>
      </c>
      <c r="G9" s="4">
        <v>76.7</v>
      </c>
      <c r="H9" s="8">
        <v>960601</v>
      </c>
      <c r="I9" s="8">
        <v>1114840</v>
      </c>
      <c r="J9" s="8">
        <f>I9/H9</f>
        <v>1.1605651045543364</v>
      </c>
    </row>
    <row r="10" spans="1:10" x14ac:dyDescent="0.35">
      <c r="A10" s="2" t="s">
        <v>18</v>
      </c>
      <c r="B10" s="2">
        <v>44400</v>
      </c>
      <c r="C10" s="2">
        <v>242</v>
      </c>
      <c r="D10" s="2" t="s">
        <v>9</v>
      </c>
      <c r="E10" s="2">
        <v>32.25</v>
      </c>
      <c r="F10" s="3">
        <v>28.4</v>
      </c>
      <c r="G10" s="2">
        <v>76.599999999999994</v>
      </c>
      <c r="H10" s="7">
        <v>918747</v>
      </c>
      <c r="I10" s="7">
        <v>1271552</v>
      </c>
      <c r="J10" s="7">
        <f>I10/H10</f>
        <v>1.3840066960762865</v>
      </c>
    </row>
    <row r="11" spans="1:10" x14ac:dyDescent="0.35">
      <c r="A11" s="4" t="s">
        <v>19</v>
      </c>
      <c r="B11" s="4">
        <v>421</v>
      </c>
      <c r="C11" s="4">
        <v>230</v>
      </c>
      <c r="D11" s="4" t="s">
        <v>9</v>
      </c>
      <c r="E11" s="4">
        <v>14.91</v>
      </c>
      <c r="F11" s="3">
        <v>28.7</v>
      </c>
      <c r="G11" s="4">
        <v>76.7</v>
      </c>
      <c r="H11" s="8">
        <v>956755</v>
      </c>
      <c r="I11" s="8">
        <v>1119502</v>
      </c>
      <c r="J11" s="8">
        <f>I11/H11</f>
        <v>1.1701031089463865</v>
      </c>
    </row>
    <row r="12" spans="1:10" x14ac:dyDescent="0.35">
      <c r="A12" s="4" t="s">
        <v>21</v>
      </c>
      <c r="B12" s="4">
        <v>74900</v>
      </c>
      <c r="C12" s="4">
        <v>247</v>
      </c>
      <c r="D12" s="4" t="s">
        <v>9</v>
      </c>
      <c r="E12" s="4">
        <v>30.52</v>
      </c>
      <c r="F12" s="3">
        <v>28.8</v>
      </c>
      <c r="G12" s="4">
        <v>76.400000000000006</v>
      </c>
      <c r="H12" s="8">
        <v>916325</v>
      </c>
      <c r="I12" s="8">
        <v>1260665</v>
      </c>
      <c r="J12" s="8">
        <f>I12/H12</f>
        <v>1.3757837011977192</v>
      </c>
    </row>
    <row r="13" spans="1:10" x14ac:dyDescent="0.35">
      <c r="A13" s="2" t="s">
        <v>20</v>
      </c>
      <c r="B13" s="2">
        <v>1421.47</v>
      </c>
      <c r="C13" s="2">
        <v>246</v>
      </c>
      <c r="D13" s="2" t="s">
        <v>13</v>
      </c>
      <c r="E13" s="2">
        <v>15.78</v>
      </c>
      <c r="F13" s="3">
        <v>28.8</v>
      </c>
      <c r="G13" s="2">
        <v>75.400000000000006</v>
      </c>
      <c r="H13" s="7">
        <v>953892</v>
      </c>
      <c r="I13" s="7">
        <v>1117662</v>
      </c>
      <c r="J13" s="7">
        <f>I13/H13</f>
        <v>1.1716861028292511</v>
      </c>
    </row>
    <row r="14" spans="1:10" x14ac:dyDescent="0.35">
      <c r="A14" s="2" t="s">
        <v>22</v>
      </c>
      <c r="B14" s="2">
        <v>14800</v>
      </c>
      <c r="C14" s="2">
        <v>142</v>
      </c>
      <c r="D14" s="2" t="s">
        <v>9</v>
      </c>
      <c r="E14" s="2">
        <v>35.450000000000003</v>
      </c>
      <c r="F14" s="3">
        <v>29</v>
      </c>
      <c r="G14" s="2">
        <v>76.2</v>
      </c>
      <c r="H14" s="7">
        <v>900937</v>
      </c>
      <c r="I14" s="7">
        <v>1309743</v>
      </c>
      <c r="J14" s="7">
        <f>I14/H14</f>
        <v>1.4537564779779275</v>
      </c>
    </row>
    <row r="15" spans="1:10" x14ac:dyDescent="0.35">
      <c r="A15" s="4" t="s">
        <v>23</v>
      </c>
      <c r="B15" s="4">
        <v>4600</v>
      </c>
      <c r="C15" s="4">
        <v>238</v>
      </c>
      <c r="D15" s="4" t="s">
        <v>9</v>
      </c>
      <c r="E15" s="4">
        <v>32.299999999999997</v>
      </c>
      <c r="F15" s="3">
        <v>29</v>
      </c>
      <c r="G15" s="4">
        <v>76.7</v>
      </c>
      <c r="H15" s="8">
        <v>920303</v>
      </c>
      <c r="I15" s="8">
        <v>1285422</v>
      </c>
      <c r="J15" s="8">
        <f>I15/H15</f>
        <v>1.3967378135244588</v>
      </c>
    </row>
    <row r="16" spans="1:10" x14ac:dyDescent="0.35">
      <c r="A16" s="2" t="s">
        <v>24</v>
      </c>
      <c r="B16" s="2">
        <v>39000</v>
      </c>
      <c r="C16" s="2">
        <v>243</v>
      </c>
      <c r="D16" s="2" t="s">
        <v>9</v>
      </c>
      <c r="E16" s="2">
        <v>19.75</v>
      </c>
      <c r="F16" s="3">
        <v>30.6</v>
      </c>
      <c r="G16" s="2">
        <v>74.3</v>
      </c>
      <c r="H16" s="7">
        <v>941741</v>
      </c>
      <c r="I16" s="7">
        <v>1153450</v>
      </c>
      <c r="J16" s="7">
        <f>I16/H16</f>
        <v>1.2248059710684784</v>
      </c>
    </row>
    <row r="17" spans="1:10" x14ac:dyDescent="0.35">
      <c r="A17" s="4" t="s">
        <v>25</v>
      </c>
      <c r="B17" s="4">
        <v>65800</v>
      </c>
      <c r="C17" s="4">
        <v>247</v>
      </c>
      <c r="D17" s="4" t="s">
        <v>13</v>
      </c>
      <c r="E17" s="4">
        <v>27.54</v>
      </c>
      <c r="F17" s="3">
        <v>31.3</v>
      </c>
      <c r="G17" s="4">
        <v>72.400000000000006</v>
      </c>
      <c r="H17" s="8">
        <v>913567</v>
      </c>
      <c r="I17" s="8">
        <v>1210967</v>
      </c>
      <c r="J17" s="8">
        <f>I17/H17</f>
        <v>1.3255371527211468</v>
      </c>
    </row>
    <row r="18" spans="1:10" x14ac:dyDescent="0.35">
      <c r="A18" s="2" t="s">
        <v>26</v>
      </c>
      <c r="B18" s="2">
        <v>19720</v>
      </c>
      <c r="C18" s="2">
        <v>243</v>
      </c>
      <c r="D18" s="2" t="s">
        <v>13</v>
      </c>
      <c r="E18" s="2">
        <v>25.99</v>
      </c>
      <c r="F18" s="3">
        <v>31.3</v>
      </c>
      <c r="G18" s="2">
        <v>72.7</v>
      </c>
      <c r="H18" s="7">
        <v>920216</v>
      </c>
      <c r="I18" s="7">
        <v>1192192</v>
      </c>
      <c r="J18" s="7">
        <f>I18/H18</f>
        <v>1.2955566953845619</v>
      </c>
    </row>
    <row r="19" spans="1:10" x14ac:dyDescent="0.35">
      <c r="A19" s="4" t="s">
        <v>27</v>
      </c>
      <c r="B19" s="4">
        <v>767</v>
      </c>
      <c r="C19" s="4">
        <v>247</v>
      </c>
      <c r="D19" s="4" t="s">
        <v>9</v>
      </c>
      <c r="E19" s="4">
        <v>27.78</v>
      </c>
      <c r="F19" s="3">
        <v>32.4</v>
      </c>
      <c r="G19" s="4">
        <v>71.8</v>
      </c>
      <c r="H19" s="8">
        <v>905696</v>
      </c>
      <c r="I19" s="8">
        <v>1226124</v>
      </c>
      <c r="J19" s="8">
        <f>I19/H19</f>
        <v>1.3537920008479667</v>
      </c>
    </row>
    <row r="20" spans="1:10" x14ac:dyDescent="0.35">
      <c r="A20" s="2" t="s">
        <v>28</v>
      </c>
      <c r="B20" s="2">
        <v>55680</v>
      </c>
      <c r="C20" s="2">
        <v>240</v>
      </c>
      <c r="D20" s="2" t="s">
        <v>9</v>
      </c>
      <c r="E20" s="2">
        <v>34.32</v>
      </c>
      <c r="F20" s="3">
        <v>33.1</v>
      </c>
      <c r="G20" s="2">
        <v>71</v>
      </c>
      <c r="H20" s="7">
        <v>891208</v>
      </c>
      <c r="I20" s="7">
        <v>1258763</v>
      </c>
      <c r="J20" s="7">
        <f>I20/H20</f>
        <v>1.4124233624473748</v>
      </c>
    </row>
    <row r="21" spans="1:10" x14ac:dyDescent="0.35">
      <c r="A21" s="4" t="s">
        <v>29</v>
      </c>
      <c r="B21" s="4">
        <v>90060</v>
      </c>
      <c r="C21" s="4">
        <v>241</v>
      </c>
      <c r="D21" s="4" t="s">
        <v>13</v>
      </c>
      <c r="E21" s="4">
        <v>22.57</v>
      </c>
      <c r="F21" s="3">
        <v>34.4</v>
      </c>
      <c r="G21" s="4">
        <v>70.2</v>
      </c>
      <c r="H21" s="8">
        <v>924620</v>
      </c>
      <c r="I21" s="8">
        <v>1162965</v>
      </c>
      <c r="J21" s="8">
        <f>I21/H21</f>
        <v>1.2577761675066514</v>
      </c>
    </row>
    <row r="22" spans="1:10" x14ac:dyDescent="0.35">
      <c r="A22" s="2" t="s">
        <v>30</v>
      </c>
      <c r="B22" s="2">
        <v>27940</v>
      </c>
      <c r="C22" s="2">
        <v>247</v>
      </c>
      <c r="D22" s="2" t="s">
        <v>9</v>
      </c>
      <c r="E22" s="2">
        <v>32.43</v>
      </c>
      <c r="F22" s="3">
        <v>35.299999999999997</v>
      </c>
      <c r="G22" s="2">
        <v>68.8</v>
      </c>
      <c r="H22" s="7">
        <v>892144</v>
      </c>
      <c r="I22" s="7">
        <v>1237515</v>
      </c>
      <c r="J22" s="7">
        <f>I22/H22</f>
        <v>1.3871247242597609</v>
      </c>
    </row>
    <row r="23" spans="1:10" x14ac:dyDescent="0.35">
      <c r="A23" s="4" t="s">
        <v>31</v>
      </c>
      <c r="B23" s="4">
        <v>5050</v>
      </c>
      <c r="C23" s="4">
        <v>247</v>
      </c>
      <c r="D23" s="4" t="s">
        <v>9</v>
      </c>
      <c r="E23" s="4">
        <v>20.93</v>
      </c>
      <c r="F23" s="3">
        <v>35.799999999999997</v>
      </c>
      <c r="G23" s="4">
        <v>67.599999999999994</v>
      </c>
      <c r="H23" s="8">
        <v>920547</v>
      </c>
      <c r="I23" s="8">
        <v>1164120</v>
      </c>
      <c r="J23" s="8">
        <f>I23/H23</f>
        <v>1.2645959413261898</v>
      </c>
    </row>
    <row r="24" spans="1:10" x14ac:dyDescent="0.35">
      <c r="A24" s="2" t="s">
        <v>32</v>
      </c>
      <c r="B24" s="2">
        <v>19.399999999999999</v>
      </c>
      <c r="C24" s="2">
        <v>119</v>
      </c>
      <c r="D24" s="2" t="s">
        <v>13</v>
      </c>
      <c r="E24" s="2">
        <v>40.24</v>
      </c>
      <c r="F24" s="3">
        <v>35.9</v>
      </c>
      <c r="G24" s="2">
        <v>66.400000000000006</v>
      </c>
      <c r="H24" s="7">
        <v>849198</v>
      </c>
      <c r="I24" s="7">
        <v>1317021</v>
      </c>
      <c r="J24" s="7">
        <f>I24/H24</f>
        <v>1.5508997901549462</v>
      </c>
    </row>
    <row r="25" spans="1:10" x14ac:dyDescent="0.35">
      <c r="A25" s="4" t="s">
        <v>33</v>
      </c>
      <c r="B25" s="4">
        <v>3140</v>
      </c>
      <c r="C25" s="4">
        <v>247</v>
      </c>
      <c r="D25" s="4" t="s">
        <v>13</v>
      </c>
      <c r="E25" s="4">
        <v>21.56</v>
      </c>
      <c r="F25" s="3">
        <v>36.200000000000003</v>
      </c>
      <c r="G25" s="4">
        <v>67.599999999999994</v>
      </c>
      <c r="H25" s="8">
        <v>922055</v>
      </c>
      <c r="I25" s="8">
        <v>1152264</v>
      </c>
      <c r="J25" s="8">
        <f>I25/H25</f>
        <v>1.2496694882626307</v>
      </c>
    </row>
    <row r="26" spans="1:10" x14ac:dyDescent="0.35">
      <c r="A26" s="2" t="s">
        <v>34</v>
      </c>
      <c r="B26" s="2">
        <v>1190.03</v>
      </c>
      <c r="C26" s="2">
        <v>247</v>
      </c>
      <c r="D26" s="2" t="s">
        <v>9</v>
      </c>
      <c r="E26" s="2">
        <v>12.51</v>
      </c>
      <c r="F26" s="3">
        <v>36.700000000000003</v>
      </c>
      <c r="G26" s="2">
        <v>66.7</v>
      </c>
      <c r="H26" s="7">
        <v>952738</v>
      </c>
      <c r="I26" s="7">
        <v>1085856</v>
      </c>
      <c r="J26" s="7">
        <f>I26/H26</f>
        <v>1.1397215184027507</v>
      </c>
    </row>
    <row r="27" spans="1:10" x14ac:dyDescent="0.35">
      <c r="A27" s="4" t="s">
        <v>35</v>
      </c>
      <c r="B27" s="4">
        <v>17780</v>
      </c>
      <c r="C27" s="4">
        <v>223</v>
      </c>
      <c r="D27" s="4" t="s">
        <v>9</v>
      </c>
      <c r="E27" s="4">
        <v>19.940000000000001</v>
      </c>
      <c r="F27" s="3">
        <v>39.1</v>
      </c>
      <c r="G27" s="4">
        <v>63.6</v>
      </c>
      <c r="H27" s="8">
        <v>917806</v>
      </c>
      <c r="I27" s="8">
        <v>1140083</v>
      </c>
      <c r="J27" s="8">
        <f>I27/H27</f>
        <v>1.2421829885618529</v>
      </c>
    </row>
    <row r="28" spans="1:10" x14ac:dyDescent="0.35">
      <c r="A28" s="2" t="s">
        <v>36</v>
      </c>
      <c r="B28" s="2">
        <v>26120</v>
      </c>
      <c r="C28" s="2">
        <v>244</v>
      </c>
      <c r="D28" s="2" t="s">
        <v>13</v>
      </c>
      <c r="E28" s="2">
        <v>26.15</v>
      </c>
      <c r="F28" s="3">
        <v>39.799999999999997</v>
      </c>
      <c r="G28" s="2">
        <v>63</v>
      </c>
      <c r="H28" s="7">
        <v>898843</v>
      </c>
      <c r="I28" s="7">
        <v>1172879</v>
      </c>
      <c r="J28" s="7">
        <f>I28/H28</f>
        <v>1.3048763799684706</v>
      </c>
    </row>
    <row r="29" spans="1:10" x14ac:dyDescent="0.35">
      <c r="A29" s="4" t="s">
        <v>37</v>
      </c>
      <c r="B29" s="4">
        <v>18840</v>
      </c>
      <c r="C29" s="4">
        <v>245</v>
      </c>
      <c r="D29" s="4" t="s">
        <v>9</v>
      </c>
      <c r="E29" s="4">
        <v>23.59</v>
      </c>
      <c r="F29" s="3">
        <v>40</v>
      </c>
      <c r="G29" s="4">
        <v>61.8</v>
      </c>
      <c r="H29" s="8">
        <v>898896</v>
      </c>
      <c r="I29" s="8">
        <v>1150869</v>
      </c>
      <c r="J29" s="8">
        <f>I29/H29</f>
        <v>1.2803138516580339</v>
      </c>
    </row>
    <row r="30" spans="1:10" x14ac:dyDescent="0.35">
      <c r="A30" s="2" t="s">
        <v>38</v>
      </c>
      <c r="B30" s="2">
        <v>13380</v>
      </c>
      <c r="C30" s="2">
        <v>242</v>
      </c>
      <c r="D30" s="2" t="s">
        <v>13</v>
      </c>
      <c r="E30" s="2">
        <v>50.2</v>
      </c>
      <c r="F30" s="3">
        <v>41.2</v>
      </c>
      <c r="G30" s="2">
        <v>59.7</v>
      </c>
      <c r="H30" s="7">
        <v>885402</v>
      </c>
      <c r="I30" s="7">
        <v>1173418</v>
      </c>
      <c r="J30" s="7">
        <f>I30/H30</f>
        <v>1.3252940472237469</v>
      </c>
    </row>
    <row r="31" spans="1:10" x14ac:dyDescent="0.35">
      <c r="A31" s="4" t="s">
        <v>39</v>
      </c>
      <c r="B31" s="4">
        <v>13340</v>
      </c>
      <c r="C31" s="4">
        <v>56</v>
      </c>
      <c r="D31" s="4" t="s">
        <v>13</v>
      </c>
      <c r="E31" s="4">
        <v>53.8</v>
      </c>
      <c r="F31" s="3">
        <v>41.4</v>
      </c>
      <c r="G31" s="4">
        <v>61.3</v>
      </c>
      <c r="H31" s="8">
        <v>800270</v>
      </c>
      <c r="I31" s="8">
        <v>1371416</v>
      </c>
      <c r="J31" s="8">
        <f>I31/H31</f>
        <v>1.7136916290751871</v>
      </c>
    </row>
    <row r="32" spans="1:10" x14ac:dyDescent="0.35">
      <c r="A32" s="2" t="s">
        <v>40</v>
      </c>
      <c r="B32" s="2">
        <v>54350</v>
      </c>
      <c r="C32" s="2">
        <v>98</v>
      </c>
      <c r="D32" s="2" t="s">
        <v>13</v>
      </c>
      <c r="E32" s="2">
        <v>13.08</v>
      </c>
      <c r="F32" s="3">
        <v>43.4</v>
      </c>
      <c r="G32" s="2">
        <v>58.4</v>
      </c>
      <c r="H32" s="7">
        <v>932724</v>
      </c>
      <c r="I32" s="7">
        <v>1091240</v>
      </c>
      <c r="J32" s="7">
        <f>I32/H32</f>
        <v>1.1699495241893636</v>
      </c>
    </row>
    <row r="33" spans="1:10" x14ac:dyDescent="0.35">
      <c r="A33" s="4" t="s">
        <v>41</v>
      </c>
      <c r="B33" s="4">
        <v>2010</v>
      </c>
      <c r="C33" s="4">
        <v>247</v>
      </c>
      <c r="D33" s="4" t="s">
        <v>13</v>
      </c>
      <c r="E33" s="4">
        <v>31.78</v>
      </c>
      <c r="F33" s="5">
        <v>46.1</v>
      </c>
      <c r="G33" s="4">
        <v>55.2</v>
      </c>
      <c r="H33" s="8">
        <v>864499</v>
      </c>
      <c r="I33" s="8">
        <v>1192793</v>
      </c>
      <c r="J33" s="8">
        <f>I33/H33</f>
        <v>1.3797505838641804</v>
      </c>
    </row>
    <row r="34" spans="1:10" x14ac:dyDescent="0.35">
      <c r="A34" s="2" t="s">
        <v>42</v>
      </c>
      <c r="B34" s="2">
        <v>11280</v>
      </c>
      <c r="C34" s="2">
        <v>242</v>
      </c>
      <c r="D34" s="2" t="s">
        <v>13</v>
      </c>
      <c r="E34" s="2">
        <v>29.55</v>
      </c>
      <c r="F34" s="5">
        <v>47.9</v>
      </c>
      <c r="G34" s="2">
        <v>52.6</v>
      </c>
      <c r="H34" s="7">
        <v>876175</v>
      </c>
      <c r="I34" s="7">
        <v>1154244</v>
      </c>
      <c r="J34" s="7">
        <f>I34/H34</f>
        <v>1.3173669643621422</v>
      </c>
    </row>
    <row r="35" spans="1:10" x14ac:dyDescent="0.35">
      <c r="A35" s="4" t="s">
        <v>43</v>
      </c>
      <c r="B35" s="4">
        <v>79000</v>
      </c>
      <c r="C35" s="4">
        <v>244</v>
      </c>
      <c r="D35" s="4" t="s">
        <v>13</v>
      </c>
      <c r="E35" s="4">
        <v>21.8</v>
      </c>
      <c r="F35" s="5">
        <v>47.9</v>
      </c>
      <c r="G35" s="4">
        <v>52.7</v>
      </c>
      <c r="H35" s="8">
        <v>894189</v>
      </c>
      <c r="I35" s="8">
        <v>1123947</v>
      </c>
      <c r="J35" s="8">
        <f>I35/H35</f>
        <v>1.2569456792691478</v>
      </c>
    </row>
    <row r="36" spans="1:10" x14ac:dyDescent="0.35">
      <c r="A36" s="2" t="s">
        <v>44</v>
      </c>
      <c r="B36" s="2">
        <v>17900</v>
      </c>
      <c r="C36" s="2">
        <v>242</v>
      </c>
      <c r="D36" s="2" t="s">
        <v>13</v>
      </c>
      <c r="E36" s="2">
        <v>42.8</v>
      </c>
      <c r="F36" s="5">
        <v>48.1</v>
      </c>
      <c r="G36" s="2">
        <v>52.2</v>
      </c>
      <c r="H36" s="7">
        <v>878953</v>
      </c>
      <c r="I36" s="7">
        <v>1145455</v>
      </c>
      <c r="J36" s="7">
        <f>I36/H36</f>
        <v>1.3032039255796386</v>
      </c>
    </row>
    <row r="37" spans="1:10" x14ac:dyDescent="0.35">
      <c r="A37" s="4" t="s">
        <v>45</v>
      </c>
      <c r="B37" s="4">
        <v>29300</v>
      </c>
      <c r="C37" s="4">
        <v>31</v>
      </c>
      <c r="D37" s="4" t="s">
        <v>9</v>
      </c>
      <c r="E37" s="4">
        <v>48.99</v>
      </c>
      <c r="F37" s="6">
        <v>57.9</v>
      </c>
      <c r="G37" s="4">
        <v>38.5</v>
      </c>
      <c r="H37" s="8">
        <v>751790</v>
      </c>
      <c r="I37" s="8">
        <v>1168507</v>
      </c>
      <c r="J37" s="8">
        <f>I37/H37</f>
        <v>1.5542997379587384</v>
      </c>
    </row>
    <row r="38" spans="1:10" x14ac:dyDescent="0.35">
      <c r="A38" s="2" t="s">
        <v>46</v>
      </c>
      <c r="B38" s="2">
        <v>6450</v>
      </c>
      <c r="C38" s="2">
        <v>232</v>
      </c>
      <c r="D38" s="2" t="s">
        <v>9</v>
      </c>
      <c r="E38" s="2">
        <v>16.489999999999998</v>
      </c>
      <c r="F38" s="6">
        <v>58.2</v>
      </c>
      <c r="G38" s="2">
        <v>40.299999999999997</v>
      </c>
      <c r="H38" s="7">
        <v>873130</v>
      </c>
      <c r="I38" s="7">
        <v>1099186</v>
      </c>
      <c r="J38" s="7">
        <f>I38/H38</f>
        <v>1.2589030270406469</v>
      </c>
    </row>
    <row r="39" spans="1:10" x14ac:dyDescent="0.35">
      <c r="A39" s="4" t="s">
        <v>47</v>
      </c>
      <c r="B39" s="4">
        <v>430</v>
      </c>
      <c r="C39" s="4">
        <v>232</v>
      </c>
      <c r="D39" s="4" t="s">
        <v>13</v>
      </c>
      <c r="E39" s="4">
        <v>40.700000000000003</v>
      </c>
      <c r="F39" s="6">
        <v>67.7</v>
      </c>
      <c r="G39" s="4">
        <v>28.6</v>
      </c>
      <c r="H39" s="8">
        <v>768847</v>
      </c>
      <c r="I39" s="8">
        <v>1141407</v>
      </c>
      <c r="J39" s="8">
        <f>I39/H39</f>
        <v>1.4845697518491976</v>
      </c>
    </row>
    <row r="40" spans="1:10" x14ac:dyDescent="0.35">
      <c r="A40" s="2" t="s">
        <v>48</v>
      </c>
      <c r="B40" s="2">
        <v>5000</v>
      </c>
      <c r="C40" s="2">
        <v>204</v>
      </c>
      <c r="D40" s="2" t="s">
        <v>13</v>
      </c>
      <c r="E40" s="2">
        <v>67.260000000000005</v>
      </c>
      <c r="F40" s="6">
        <v>75.400000000000006</v>
      </c>
      <c r="G40" s="2">
        <v>20.8</v>
      </c>
      <c r="H40" s="7">
        <v>631722</v>
      </c>
      <c r="I40" s="7">
        <v>1194982</v>
      </c>
      <c r="J40" s="7">
        <f>I40/H40</f>
        <v>1.8916263799582729</v>
      </c>
    </row>
  </sheetData>
  <autoFilter ref="A1:J40" xr:uid="{00000000-0001-0000-0000-000000000000}">
    <sortState xmlns:xlrd2="http://schemas.microsoft.com/office/spreadsheetml/2017/richdata2" ref="A2:J40">
      <sortCondition ref="F1:F4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Ospina Valencia</cp:lastModifiedBy>
  <dcterms:created xsi:type="dcterms:W3CDTF">2026-02-17T12:27:39Z</dcterms:created>
  <dcterms:modified xsi:type="dcterms:W3CDTF">2026-02-17T23:32:06Z</dcterms:modified>
</cp:coreProperties>
</file>